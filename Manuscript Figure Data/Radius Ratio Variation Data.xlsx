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unm\Box\SCI\Projects\Shrinky Dinks\Harshini and Sanjith\"/>
    </mc:Choice>
  </mc:AlternateContent>
  <xr:revisionPtr revIDLastSave="0" documentId="13_ncr:1_{577F4809-EDC7-43FF-AD7D-02295151FA65}" xr6:coauthVersionLast="47" xr6:coauthVersionMax="47" xr10:uidLastSave="{00000000-0000-0000-0000-000000000000}"/>
  <bookViews>
    <workbookView xWindow="-120" yWindow="-120" windowWidth="29040" windowHeight="15720" activeTab="2" xr2:uid="{9617BFC0-4013-4B65-B37B-455A420849EC}"/>
  </bookViews>
  <sheets>
    <sheet name="Figure 6" sheetId="1" r:id="rId1"/>
    <sheet name="Figure 4" sheetId="2" r:id="rId2"/>
    <sheet name="Figure 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12" i="3"/>
  <c r="F11" i="3"/>
  <c r="F10" i="3"/>
  <c r="F9" i="3"/>
  <c r="F8" i="3"/>
  <c r="F7" i="3"/>
  <c r="F6" i="3"/>
  <c r="F5" i="3"/>
  <c r="F4" i="3"/>
  <c r="F3" i="3"/>
  <c r="F2" i="3"/>
  <c r="F13" i="2"/>
  <c r="F12" i="2"/>
  <c r="F11" i="2"/>
  <c r="F10" i="2"/>
  <c r="F9" i="2"/>
  <c r="F8" i="2"/>
  <c r="F7" i="2"/>
  <c r="F6" i="2"/>
  <c r="F5" i="2"/>
  <c r="F4" i="2"/>
  <c r="F3" i="2"/>
  <c r="F2" i="2"/>
  <c r="F36" i="1"/>
  <c r="F37" i="1"/>
  <c r="F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C37" i="1"/>
  <c r="C36" i="1"/>
  <c r="C35" i="1"/>
  <c r="C34" i="1"/>
  <c r="C33" i="1"/>
  <c r="C32" i="1"/>
  <c r="C31" i="1"/>
  <c r="C30" i="1"/>
  <c r="C29" i="1"/>
  <c r="C28" i="1"/>
  <c r="G27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<sst xmlns="http://schemas.openxmlformats.org/spreadsheetml/2006/main" count="78" uniqueCount="25">
  <si>
    <t>Temp File name</t>
  </si>
  <si>
    <t>Undefined</t>
  </si>
  <si>
    <t>Radius Ratio</t>
  </si>
  <si>
    <t>Specimen</t>
  </si>
  <si>
    <t>Inner Diameter (mm)</t>
  </si>
  <si>
    <t>Outer Diameter (mm)</t>
  </si>
  <si>
    <t>Deformation Start Time (s)</t>
  </si>
  <si>
    <t>Height (mm)</t>
  </si>
  <si>
    <t>Shape</t>
  </si>
  <si>
    <t>Glue Type</t>
  </si>
  <si>
    <t>Side Down in the Oven</t>
  </si>
  <si>
    <t>Temperature File Name</t>
  </si>
  <si>
    <t>Bowl</t>
  </si>
  <si>
    <t>Shrinky Dink Side</t>
  </si>
  <si>
    <t>Pyramid</t>
  </si>
  <si>
    <t>Shell</t>
  </si>
  <si>
    <t>kirigami side</t>
  </si>
  <si>
    <t>Gorilla Clear</t>
  </si>
  <si>
    <t>Mouse</t>
  </si>
  <si>
    <t>Peanut</t>
  </si>
  <si>
    <t>Butterfly</t>
  </si>
  <si>
    <t>Spoon</t>
  </si>
  <si>
    <t>Shrinky Dink Side of the Base</t>
  </si>
  <si>
    <t>RimmedPlate</t>
  </si>
  <si>
    <t>JB Weld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</si>
</sst>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D83B-DACD-475F-A5F6-EEBBF1BD54DF}">
  <dimension ref="A1:J37"/>
  <sheetViews>
    <sheetView workbookViewId="0">
      <selection activeCell="I28" sqref="I28"/>
    </sheetView>
  </sheetViews>
  <sheetFormatPr defaultRowHeight="15" x14ac:dyDescent="0.25"/>
  <cols>
    <col min="1" max="1" width="12.28515625" bestFit="1" customWidth="1"/>
    <col min="2" max="2" width="20.5703125" bestFit="1" customWidth="1"/>
    <col min="3" max="3" width="20.140625" bestFit="1" customWidth="1"/>
    <col min="4" max="4" width="10" bestFit="1" customWidth="1"/>
    <col min="5" max="5" width="25.28515625" bestFit="1" customWidth="1"/>
    <col min="6" max="6" width="15.28515625" bestFit="1" customWidth="1"/>
    <col min="7" max="7" width="17.28515625" bestFit="1" customWidth="1"/>
  </cols>
  <sheetData>
    <row r="1" spans="1:10" s="4" customFormat="1" ht="15.75" thickBot="1" x14ac:dyDescent="0.3">
      <c r="A1" s="18" t="s">
        <v>2</v>
      </c>
      <c r="B1" s="18" t="s">
        <v>5</v>
      </c>
      <c r="C1" s="18" t="s">
        <v>4</v>
      </c>
      <c r="D1" s="18" t="s">
        <v>3</v>
      </c>
      <c r="E1" s="18" t="s">
        <v>6</v>
      </c>
      <c r="F1" s="18" t="s">
        <v>0</v>
      </c>
      <c r="G1" s="18" t="s">
        <v>7</v>
      </c>
      <c r="H1" s="2"/>
      <c r="I1" s="2"/>
      <c r="J1" s="2"/>
    </row>
    <row r="2" spans="1:10" x14ac:dyDescent="0.25">
      <c r="A2" s="19">
        <v>0.1</v>
      </c>
      <c r="B2" s="19">
        <v>110</v>
      </c>
      <c r="C2" s="19">
        <f t="shared" ref="C2:C37" si="0">B2*A2</f>
        <v>11</v>
      </c>
      <c r="D2" s="19">
        <v>1</v>
      </c>
      <c r="E2" s="19">
        <v>77.739999999999995</v>
      </c>
      <c r="F2" s="19" t="str">
        <f>_xlfn.CONCAT(A2*100,"_",D2,"_",E2*100)</f>
        <v>10_1_7774</v>
      </c>
      <c r="G2" s="22">
        <v>41</v>
      </c>
      <c r="H2" s="3"/>
      <c r="I2" s="3"/>
      <c r="J2" s="1"/>
    </row>
    <row r="3" spans="1:10" x14ac:dyDescent="0.25">
      <c r="A3" s="20">
        <v>0.1</v>
      </c>
      <c r="B3" s="20">
        <v>110</v>
      </c>
      <c r="C3" s="20">
        <f t="shared" si="0"/>
        <v>11</v>
      </c>
      <c r="D3" s="20">
        <v>2</v>
      </c>
      <c r="E3" s="20">
        <v>15.69</v>
      </c>
      <c r="F3" s="20" t="str">
        <f t="shared" ref="F3:F37" si="1">_xlfn.CONCAT(A3*100,"_",D3,"_",E3*100)</f>
        <v>10_2_1569</v>
      </c>
      <c r="G3" s="20">
        <v>44.6</v>
      </c>
      <c r="H3" s="1"/>
      <c r="I3" s="1"/>
      <c r="J3" s="1"/>
    </row>
    <row r="4" spans="1:10" ht="15.75" thickBot="1" x14ac:dyDescent="0.3">
      <c r="A4" s="21">
        <v>0.1</v>
      </c>
      <c r="B4" s="21">
        <v>110</v>
      </c>
      <c r="C4" s="21">
        <f t="shared" si="0"/>
        <v>11</v>
      </c>
      <c r="D4" s="21">
        <v>3</v>
      </c>
      <c r="E4" s="21">
        <v>40.53</v>
      </c>
      <c r="F4" s="21" t="str">
        <f t="shared" si="1"/>
        <v>10_3_4053</v>
      </c>
      <c r="G4" s="21">
        <v>41.6</v>
      </c>
      <c r="H4" s="1"/>
      <c r="I4" s="1"/>
      <c r="J4" s="1"/>
    </row>
    <row r="5" spans="1:10" x14ac:dyDescent="0.25">
      <c r="A5" s="19">
        <v>0.15</v>
      </c>
      <c r="B5" s="19">
        <v>110</v>
      </c>
      <c r="C5" s="19">
        <f t="shared" si="0"/>
        <v>16.5</v>
      </c>
      <c r="D5" s="19">
        <v>1</v>
      </c>
      <c r="E5" s="19">
        <v>25.22</v>
      </c>
      <c r="F5" s="19" t="str">
        <f t="shared" si="1"/>
        <v>15_1_2522</v>
      </c>
      <c r="G5" s="19">
        <v>42.4</v>
      </c>
      <c r="H5" s="3"/>
      <c r="I5" s="3"/>
      <c r="J5" s="1"/>
    </row>
    <row r="6" spans="1:10" x14ac:dyDescent="0.25">
      <c r="A6" s="20">
        <v>0.15</v>
      </c>
      <c r="B6" s="20">
        <v>110</v>
      </c>
      <c r="C6" s="20">
        <f t="shared" si="0"/>
        <v>16.5</v>
      </c>
      <c r="D6" s="20">
        <v>2</v>
      </c>
      <c r="E6" s="20">
        <v>17.059999999999999</v>
      </c>
      <c r="F6" s="20" t="str">
        <f t="shared" si="1"/>
        <v>15_2_1706</v>
      </c>
      <c r="G6" s="20">
        <v>42.2</v>
      </c>
      <c r="H6" s="1"/>
      <c r="I6" s="1"/>
      <c r="J6" s="1"/>
    </row>
    <row r="7" spans="1:10" ht="15.75" thickBot="1" x14ac:dyDescent="0.3">
      <c r="A7" s="21">
        <v>0.15</v>
      </c>
      <c r="B7" s="21">
        <v>110</v>
      </c>
      <c r="C7" s="21">
        <f t="shared" si="0"/>
        <v>16.5</v>
      </c>
      <c r="D7" s="21">
        <v>3</v>
      </c>
      <c r="E7" s="21">
        <v>23.51</v>
      </c>
      <c r="F7" s="21" t="str">
        <f t="shared" si="1"/>
        <v>15_3_2351</v>
      </c>
      <c r="G7" s="21">
        <v>43.2</v>
      </c>
      <c r="H7" s="1"/>
      <c r="I7" s="1"/>
      <c r="J7" s="1"/>
    </row>
    <row r="8" spans="1:10" x14ac:dyDescent="0.25">
      <c r="A8" s="19">
        <v>0.2</v>
      </c>
      <c r="B8" s="19">
        <v>110</v>
      </c>
      <c r="C8" s="19">
        <f t="shared" si="0"/>
        <v>22</v>
      </c>
      <c r="D8" s="19">
        <v>1</v>
      </c>
      <c r="E8" s="19">
        <v>31.81</v>
      </c>
      <c r="F8" s="19" t="str">
        <f t="shared" si="1"/>
        <v>20_1_3181</v>
      </c>
      <c r="G8" s="22">
        <v>43.1</v>
      </c>
      <c r="H8" s="3"/>
      <c r="I8" s="3"/>
      <c r="J8" s="1"/>
    </row>
    <row r="9" spans="1:10" x14ac:dyDescent="0.25">
      <c r="A9" s="20">
        <v>0.2</v>
      </c>
      <c r="B9" s="20">
        <v>110</v>
      </c>
      <c r="C9" s="20">
        <f t="shared" si="0"/>
        <v>22</v>
      </c>
      <c r="D9" s="20">
        <v>2</v>
      </c>
      <c r="E9" s="20">
        <v>16.829999999999998</v>
      </c>
      <c r="F9" s="20" t="str">
        <f t="shared" si="1"/>
        <v>20_2_1683</v>
      </c>
      <c r="G9" s="20">
        <v>45</v>
      </c>
      <c r="H9" s="1"/>
      <c r="I9" s="1"/>
      <c r="J9" s="1"/>
    </row>
    <row r="10" spans="1:10" ht="15.75" thickBot="1" x14ac:dyDescent="0.3">
      <c r="A10" s="21">
        <v>0.2</v>
      </c>
      <c r="B10" s="21">
        <v>110</v>
      </c>
      <c r="C10" s="21">
        <f t="shared" si="0"/>
        <v>22</v>
      </c>
      <c r="D10" s="21">
        <v>3</v>
      </c>
      <c r="E10" s="21">
        <v>18.940000000000001</v>
      </c>
      <c r="F10" s="21" t="str">
        <f t="shared" si="1"/>
        <v>20_3_1894</v>
      </c>
      <c r="G10" s="21">
        <v>43.3</v>
      </c>
      <c r="H10" s="1"/>
      <c r="I10" s="1"/>
      <c r="J10" s="1"/>
    </row>
    <row r="11" spans="1:10" x14ac:dyDescent="0.25">
      <c r="A11" s="19">
        <v>0.3</v>
      </c>
      <c r="B11" s="19">
        <v>110</v>
      </c>
      <c r="C11" s="19">
        <f t="shared" si="0"/>
        <v>33</v>
      </c>
      <c r="D11" s="19">
        <v>1</v>
      </c>
      <c r="E11" s="19">
        <v>34.450000000000003</v>
      </c>
      <c r="F11" s="19" t="str">
        <f t="shared" si="1"/>
        <v>30_1_3445</v>
      </c>
      <c r="G11" s="19">
        <v>36.4</v>
      </c>
      <c r="H11" s="3"/>
      <c r="I11" s="3"/>
      <c r="J11" s="1"/>
    </row>
    <row r="12" spans="1:10" x14ac:dyDescent="0.25">
      <c r="A12" s="20">
        <v>0.3</v>
      </c>
      <c r="B12" s="20">
        <v>110</v>
      </c>
      <c r="C12" s="20">
        <f t="shared" si="0"/>
        <v>33</v>
      </c>
      <c r="D12" s="20">
        <v>2</v>
      </c>
      <c r="E12" s="20">
        <v>30.02</v>
      </c>
      <c r="F12" s="20" t="str">
        <f t="shared" si="1"/>
        <v>30_2_3002</v>
      </c>
      <c r="G12" s="20">
        <v>40.1</v>
      </c>
      <c r="H12" s="1"/>
      <c r="I12" s="1"/>
      <c r="J12" s="1"/>
    </row>
    <row r="13" spans="1:10" ht="15.75" thickBot="1" x14ac:dyDescent="0.3">
      <c r="A13" s="21">
        <v>0.3</v>
      </c>
      <c r="B13" s="21">
        <v>110</v>
      </c>
      <c r="C13" s="21">
        <f t="shared" si="0"/>
        <v>33</v>
      </c>
      <c r="D13" s="21">
        <v>3</v>
      </c>
      <c r="E13" s="21">
        <v>42.59</v>
      </c>
      <c r="F13" s="21" t="str">
        <f t="shared" si="1"/>
        <v>30_3_4259</v>
      </c>
      <c r="G13" s="21">
        <v>38.200000000000003</v>
      </c>
      <c r="H13" s="1"/>
      <c r="I13" s="1"/>
      <c r="J13" s="1"/>
    </row>
    <row r="14" spans="1:10" x14ac:dyDescent="0.25">
      <c r="A14" s="19">
        <v>0.35</v>
      </c>
      <c r="B14" s="19">
        <v>110</v>
      </c>
      <c r="C14" s="19">
        <f t="shared" si="0"/>
        <v>38.5</v>
      </c>
      <c r="D14" s="19">
        <v>1</v>
      </c>
      <c r="E14" s="19">
        <v>21.12</v>
      </c>
      <c r="F14" s="19" t="str">
        <f t="shared" si="1"/>
        <v>35_1_2112</v>
      </c>
      <c r="G14" s="19">
        <v>36</v>
      </c>
      <c r="H14" s="3"/>
      <c r="I14" s="3"/>
      <c r="J14" s="1"/>
    </row>
    <row r="15" spans="1:10" x14ac:dyDescent="0.25">
      <c r="A15" s="20">
        <v>0.35</v>
      </c>
      <c r="B15" s="20">
        <v>110</v>
      </c>
      <c r="C15" s="20">
        <f t="shared" si="0"/>
        <v>38.5</v>
      </c>
      <c r="D15" s="20">
        <v>2</v>
      </c>
      <c r="E15" s="20">
        <v>24.85</v>
      </c>
      <c r="F15" s="20" t="str">
        <f t="shared" si="1"/>
        <v>35_2_2485</v>
      </c>
      <c r="G15" s="20">
        <v>37.700000000000003</v>
      </c>
      <c r="H15" s="1"/>
      <c r="I15" s="1"/>
      <c r="J15" s="1"/>
    </row>
    <row r="16" spans="1:10" ht="15.75" thickBot="1" x14ac:dyDescent="0.3">
      <c r="A16" s="21">
        <v>0.35</v>
      </c>
      <c r="B16" s="21">
        <v>110</v>
      </c>
      <c r="C16" s="21">
        <f t="shared" si="0"/>
        <v>38.5</v>
      </c>
      <c r="D16" s="21">
        <v>3</v>
      </c>
      <c r="E16" s="21">
        <v>18.239999999999998</v>
      </c>
      <c r="F16" s="21" t="str">
        <f t="shared" si="1"/>
        <v>35_3_1824</v>
      </c>
      <c r="G16" s="21">
        <v>38.1</v>
      </c>
      <c r="H16" s="1"/>
      <c r="I16" s="1"/>
      <c r="J16" s="1"/>
    </row>
    <row r="17" spans="1:10" x14ac:dyDescent="0.25">
      <c r="A17" s="19">
        <v>0.4</v>
      </c>
      <c r="B17" s="19">
        <v>110</v>
      </c>
      <c r="C17" s="19">
        <f t="shared" si="0"/>
        <v>44</v>
      </c>
      <c r="D17" s="19">
        <v>1</v>
      </c>
      <c r="E17" s="19">
        <v>49.13</v>
      </c>
      <c r="F17" s="19" t="str">
        <f t="shared" si="1"/>
        <v>40_1_4913</v>
      </c>
      <c r="G17" s="19">
        <v>34</v>
      </c>
      <c r="H17" s="3"/>
      <c r="I17" s="3"/>
      <c r="J17" s="1"/>
    </row>
    <row r="18" spans="1:10" x14ac:dyDescent="0.25">
      <c r="A18" s="20">
        <v>0.4</v>
      </c>
      <c r="B18" s="20">
        <v>110</v>
      </c>
      <c r="C18" s="20">
        <f t="shared" si="0"/>
        <v>44</v>
      </c>
      <c r="D18" s="20">
        <v>2</v>
      </c>
      <c r="E18" s="20">
        <v>23.3</v>
      </c>
      <c r="F18" s="20" t="str">
        <f t="shared" si="1"/>
        <v>40_2_2330</v>
      </c>
      <c r="G18" s="20">
        <v>35.200000000000003</v>
      </c>
      <c r="H18" s="1"/>
      <c r="I18" s="1"/>
      <c r="J18" s="1"/>
    </row>
    <row r="19" spans="1:10" ht="15.75" thickBot="1" x14ac:dyDescent="0.3">
      <c r="A19" s="21">
        <v>0.4</v>
      </c>
      <c r="B19" s="21">
        <v>110</v>
      </c>
      <c r="C19" s="21">
        <f t="shared" si="0"/>
        <v>44</v>
      </c>
      <c r="D19" s="21">
        <v>3</v>
      </c>
      <c r="E19" s="21">
        <v>24.93</v>
      </c>
      <c r="F19" s="21" t="str">
        <f t="shared" si="1"/>
        <v>40_3_2493</v>
      </c>
      <c r="G19" s="21">
        <v>34.700000000000003</v>
      </c>
      <c r="H19" s="1"/>
      <c r="I19" s="1"/>
      <c r="J19" s="1"/>
    </row>
    <row r="20" spans="1:10" x14ac:dyDescent="0.25">
      <c r="A20" s="19">
        <v>0.5</v>
      </c>
      <c r="B20" s="19">
        <v>110</v>
      </c>
      <c r="C20" s="19">
        <f t="shared" si="0"/>
        <v>55</v>
      </c>
      <c r="D20" s="19">
        <v>1</v>
      </c>
      <c r="E20" s="19">
        <v>38.85</v>
      </c>
      <c r="F20" s="19" t="str">
        <f t="shared" si="1"/>
        <v>50_1_3885</v>
      </c>
      <c r="G20" s="19">
        <v>30.6</v>
      </c>
      <c r="H20" s="3"/>
      <c r="I20" s="3"/>
      <c r="J20" s="1"/>
    </row>
    <row r="21" spans="1:10" x14ac:dyDescent="0.25">
      <c r="A21" s="20">
        <v>0.5</v>
      </c>
      <c r="B21" s="20">
        <v>110</v>
      </c>
      <c r="C21" s="20">
        <f t="shared" si="0"/>
        <v>55</v>
      </c>
      <c r="D21" s="20">
        <v>2</v>
      </c>
      <c r="E21" s="20">
        <v>28.46</v>
      </c>
      <c r="F21" s="20" t="str">
        <f t="shared" si="1"/>
        <v>50_2_2846</v>
      </c>
      <c r="G21" s="20">
        <v>31.3</v>
      </c>
      <c r="H21" s="1"/>
      <c r="I21" s="1"/>
      <c r="J21" s="1"/>
    </row>
    <row r="22" spans="1:10" ht="15.75" thickBot="1" x14ac:dyDescent="0.3">
      <c r="A22" s="21">
        <v>0.5</v>
      </c>
      <c r="B22" s="21">
        <v>110</v>
      </c>
      <c r="C22" s="21">
        <f t="shared" si="0"/>
        <v>55</v>
      </c>
      <c r="D22" s="21">
        <v>3</v>
      </c>
      <c r="E22" s="21">
        <v>21.88</v>
      </c>
      <c r="F22" s="21" t="str">
        <f t="shared" si="1"/>
        <v>50_3_2188</v>
      </c>
      <c r="G22" s="21">
        <v>31.4</v>
      </c>
      <c r="H22" s="1"/>
      <c r="I22" s="1"/>
      <c r="J22" s="1"/>
    </row>
    <row r="23" spans="1:10" x14ac:dyDescent="0.25">
      <c r="A23" s="19">
        <v>0.6</v>
      </c>
      <c r="B23" s="19">
        <v>110</v>
      </c>
      <c r="C23" s="19">
        <f>B23*A23</f>
        <v>66</v>
      </c>
      <c r="D23" s="19">
        <v>1</v>
      </c>
      <c r="E23" s="19">
        <v>27.67</v>
      </c>
      <c r="F23" s="19" t="str">
        <f t="shared" si="1"/>
        <v>60_1_2767</v>
      </c>
      <c r="G23" s="19">
        <v>29.3</v>
      </c>
      <c r="H23" s="3"/>
      <c r="I23" s="3"/>
      <c r="J23" s="1"/>
    </row>
    <row r="24" spans="1:10" x14ac:dyDescent="0.25">
      <c r="A24" s="20">
        <v>0.6</v>
      </c>
      <c r="B24" s="20">
        <v>110</v>
      </c>
      <c r="C24" s="20">
        <f>B24*A24</f>
        <v>66</v>
      </c>
      <c r="D24" s="20">
        <v>2</v>
      </c>
      <c r="E24" s="20">
        <v>25.93</v>
      </c>
      <c r="F24" s="20" t="str">
        <f t="shared" si="1"/>
        <v>60_2_2593</v>
      </c>
      <c r="G24" s="20">
        <v>32.1</v>
      </c>
      <c r="H24" s="1"/>
      <c r="I24" s="1"/>
      <c r="J24" s="1"/>
    </row>
    <row r="25" spans="1:10" ht="15.75" thickBot="1" x14ac:dyDescent="0.3">
      <c r="A25" s="21">
        <v>0.6</v>
      </c>
      <c r="B25" s="21">
        <v>110</v>
      </c>
      <c r="C25" s="21">
        <f>B25*A25</f>
        <v>66</v>
      </c>
      <c r="D25" s="21">
        <v>3</v>
      </c>
      <c r="E25" s="21">
        <v>34.49</v>
      </c>
      <c r="F25" s="21" t="str">
        <f t="shared" si="1"/>
        <v>60_3_3449</v>
      </c>
      <c r="G25" s="21">
        <v>21.3</v>
      </c>
      <c r="H25" s="1"/>
      <c r="I25" s="1"/>
      <c r="J25" s="1"/>
    </row>
    <row r="26" spans="1:10" x14ac:dyDescent="0.25">
      <c r="A26" s="19">
        <v>0.7</v>
      </c>
      <c r="B26" s="19">
        <v>110</v>
      </c>
      <c r="C26" s="19">
        <f t="shared" si="0"/>
        <v>77</v>
      </c>
      <c r="D26" s="19">
        <v>1</v>
      </c>
      <c r="E26" s="19">
        <v>18.21</v>
      </c>
      <c r="F26" s="19" t="str">
        <f t="shared" si="1"/>
        <v>70_1_1821</v>
      </c>
      <c r="G26" s="19">
        <v>21.6</v>
      </c>
      <c r="H26" s="3"/>
      <c r="I26" s="3"/>
      <c r="J26" s="1"/>
    </row>
    <row r="27" spans="1:10" x14ac:dyDescent="0.25">
      <c r="A27" s="20">
        <v>0.7</v>
      </c>
      <c r="B27" s="20">
        <v>110</v>
      </c>
      <c r="C27" s="20">
        <f t="shared" si="0"/>
        <v>77</v>
      </c>
      <c r="D27" s="20">
        <v>2</v>
      </c>
      <c r="E27" s="20">
        <v>27.84</v>
      </c>
      <c r="F27" s="20" t="str">
        <f t="shared" si="1"/>
        <v>70_2_2784</v>
      </c>
      <c r="G27" s="20">
        <f>(G28+G26)/2</f>
        <v>21.25</v>
      </c>
      <c r="H27" s="1"/>
      <c r="I27" s="1"/>
      <c r="J27" s="1"/>
    </row>
    <row r="28" spans="1:10" ht="15.75" thickBot="1" x14ac:dyDescent="0.3">
      <c r="A28" s="21">
        <v>0.7</v>
      </c>
      <c r="B28" s="21">
        <v>110</v>
      </c>
      <c r="C28" s="21">
        <f t="shared" si="0"/>
        <v>77</v>
      </c>
      <c r="D28" s="21">
        <v>3</v>
      </c>
      <c r="E28" s="21">
        <v>24.31</v>
      </c>
      <c r="F28" s="21" t="str">
        <f t="shared" si="1"/>
        <v>70_3_2431</v>
      </c>
      <c r="G28" s="21">
        <v>20.9</v>
      </c>
      <c r="H28" s="1"/>
      <c r="I28" s="1"/>
      <c r="J28" s="1"/>
    </row>
    <row r="29" spans="1:10" x14ac:dyDescent="0.25">
      <c r="A29" s="19">
        <v>0.8</v>
      </c>
      <c r="B29" s="19">
        <v>110</v>
      </c>
      <c r="C29" s="19">
        <f t="shared" si="0"/>
        <v>88</v>
      </c>
      <c r="D29" s="19">
        <v>1</v>
      </c>
      <c r="E29" s="19">
        <v>30.28</v>
      </c>
      <c r="F29" s="19" t="str">
        <f t="shared" si="1"/>
        <v>80_1_3028</v>
      </c>
      <c r="G29" s="19">
        <v>17.899999999999999</v>
      </c>
      <c r="H29" s="3"/>
      <c r="I29" s="3"/>
      <c r="J29" s="1"/>
    </row>
    <row r="30" spans="1:10" x14ac:dyDescent="0.25">
      <c r="A30" s="20">
        <v>0.8</v>
      </c>
      <c r="B30" s="20">
        <v>110</v>
      </c>
      <c r="C30" s="20">
        <f t="shared" si="0"/>
        <v>88</v>
      </c>
      <c r="D30" s="20">
        <v>2</v>
      </c>
      <c r="E30" s="20">
        <v>35.35</v>
      </c>
      <c r="F30" s="20" t="str">
        <f t="shared" si="1"/>
        <v>80_2_3535</v>
      </c>
      <c r="G30" s="20">
        <v>13.4</v>
      </c>
      <c r="H30" s="1"/>
      <c r="I30" s="1"/>
      <c r="J30" s="1"/>
    </row>
    <row r="31" spans="1:10" ht="15.75" thickBot="1" x14ac:dyDescent="0.3">
      <c r="A31" s="21">
        <v>0.8</v>
      </c>
      <c r="B31" s="21">
        <v>110</v>
      </c>
      <c r="C31" s="21">
        <f t="shared" si="0"/>
        <v>88</v>
      </c>
      <c r="D31" s="21">
        <v>3</v>
      </c>
      <c r="E31" s="21">
        <v>22.2</v>
      </c>
      <c r="F31" s="21" t="str">
        <f t="shared" si="1"/>
        <v>80_3_2220</v>
      </c>
      <c r="G31" s="21">
        <v>17.600000000000001</v>
      </c>
      <c r="H31" s="1"/>
      <c r="I31" s="1"/>
      <c r="J31" s="1"/>
    </row>
    <row r="32" spans="1:10" x14ac:dyDescent="0.25">
      <c r="A32" s="19">
        <v>0.9</v>
      </c>
      <c r="B32" s="19">
        <v>110</v>
      </c>
      <c r="C32" s="19">
        <f t="shared" si="0"/>
        <v>99</v>
      </c>
      <c r="D32" s="19">
        <v>1</v>
      </c>
      <c r="E32" s="19">
        <v>40.729999999999997</v>
      </c>
      <c r="F32" s="19" t="str">
        <f t="shared" si="1"/>
        <v>90_1_4073</v>
      </c>
      <c r="G32" s="19">
        <v>5</v>
      </c>
      <c r="H32" s="3"/>
      <c r="I32" s="3"/>
      <c r="J32" s="1"/>
    </row>
    <row r="33" spans="1:10" x14ac:dyDescent="0.25">
      <c r="A33" s="20">
        <v>0.9</v>
      </c>
      <c r="B33" s="20">
        <v>110</v>
      </c>
      <c r="C33" s="20">
        <f t="shared" si="0"/>
        <v>99</v>
      </c>
      <c r="D33" s="20">
        <v>2</v>
      </c>
      <c r="E33" s="20">
        <v>26.74</v>
      </c>
      <c r="F33" s="20" t="str">
        <f t="shared" si="1"/>
        <v>90_2_2674</v>
      </c>
      <c r="G33" s="20">
        <v>10</v>
      </c>
      <c r="H33" s="1"/>
      <c r="I33" s="1"/>
      <c r="J33" s="1"/>
    </row>
    <row r="34" spans="1:10" ht="15.75" thickBot="1" x14ac:dyDescent="0.3">
      <c r="A34" s="21">
        <v>0.9</v>
      </c>
      <c r="B34" s="21">
        <v>110</v>
      </c>
      <c r="C34" s="21">
        <f t="shared" si="0"/>
        <v>99</v>
      </c>
      <c r="D34" s="21">
        <v>3</v>
      </c>
      <c r="E34" s="21">
        <v>22.41</v>
      </c>
      <c r="F34" s="21" t="str">
        <f t="shared" si="1"/>
        <v>90_3_2241</v>
      </c>
      <c r="G34" s="21">
        <v>20.7</v>
      </c>
      <c r="H34" s="1"/>
      <c r="I34" s="1"/>
      <c r="J34" s="1"/>
    </row>
    <row r="35" spans="1:10" x14ac:dyDescent="0.25">
      <c r="A35" s="19">
        <v>1</v>
      </c>
      <c r="B35" s="19">
        <v>110</v>
      </c>
      <c r="C35" s="19">
        <f t="shared" si="0"/>
        <v>110</v>
      </c>
      <c r="D35" s="19">
        <v>1</v>
      </c>
      <c r="E35" s="19" t="s">
        <v>1</v>
      </c>
      <c r="F35" s="19" t="str">
        <f>_xlfn.CONCAT(A35*100,"_",D35,"_0000")</f>
        <v>100_1_0000</v>
      </c>
      <c r="G35" s="19">
        <v>3.9</v>
      </c>
      <c r="H35" s="3"/>
      <c r="I35" s="3"/>
      <c r="J35" s="1"/>
    </row>
    <row r="36" spans="1:10" x14ac:dyDescent="0.25">
      <c r="A36" s="20">
        <v>1</v>
      </c>
      <c r="B36" s="20">
        <v>110</v>
      </c>
      <c r="C36" s="20">
        <f t="shared" si="0"/>
        <v>110</v>
      </c>
      <c r="D36" s="20">
        <v>2</v>
      </c>
      <c r="E36" s="20" t="s">
        <v>1</v>
      </c>
      <c r="F36" s="20" t="str">
        <f t="shared" ref="F36:F37" si="2">_xlfn.CONCAT(A36*100,"_",D36,"_0000")</f>
        <v>100_2_0000</v>
      </c>
      <c r="G36" s="20">
        <v>12.2</v>
      </c>
      <c r="H36" s="1"/>
      <c r="I36" s="1"/>
      <c r="J36" s="1"/>
    </row>
    <row r="37" spans="1:10" ht="15.75" thickBot="1" x14ac:dyDescent="0.3">
      <c r="A37" s="21">
        <v>1</v>
      </c>
      <c r="B37" s="21">
        <v>110</v>
      </c>
      <c r="C37" s="21">
        <f t="shared" si="0"/>
        <v>110</v>
      </c>
      <c r="D37" s="21">
        <v>3</v>
      </c>
      <c r="E37" s="21" t="s">
        <v>1</v>
      </c>
      <c r="F37" s="21" t="str">
        <f t="shared" si="2"/>
        <v>100_3_0000</v>
      </c>
      <c r="G37" s="21">
        <v>7.1</v>
      </c>
      <c r="H37" s="1"/>
      <c r="I37" s="1"/>
      <c r="J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791D-3D12-470B-B5BE-441505619026}">
  <dimension ref="A1:F28"/>
  <sheetViews>
    <sheetView workbookViewId="0">
      <selection activeCell="E26" sqref="E26"/>
    </sheetView>
  </sheetViews>
  <sheetFormatPr defaultColWidth="8.85546875" defaultRowHeight="15" x14ac:dyDescent="0.25"/>
  <cols>
    <col min="1" max="1" width="8.28515625" style="7" bestFit="1" customWidth="1"/>
    <col min="2" max="2" width="10" style="7" bestFit="1" customWidth="1"/>
    <col min="3" max="3" width="12.28515625" style="7" bestFit="1" customWidth="1"/>
    <col min="4" max="4" width="21.7109375" style="7" bestFit="1" customWidth="1"/>
    <col min="5" max="5" width="25.28515625" style="7" bestFit="1" customWidth="1"/>
    <col min="6" max="6" width="22.42578125" style="7" bestFit="1" customWidth="1"/>
    <col min="7" max="16384" width="8.85546875" style="7"/>
  </cols>
  <sheetData>
    <row r="1" spans="1:6" ht="15.75" thickBot="1" x14ac:dyDescent="0.3">
      <c r="A1" s="5" t="s">
        <v>8</v>
      </c>
      <c r="B1" s="5" t="s">
        <v>3</v>
      </c>
      <c r="C1" s="5" t="s">
        <v>9</v>
      </c>
      <c r="D1" s="5" t="s">
        <v>10</v>
      </c>
      <c r="E1" s="5" t="s">
        <v>6</v>
      </c>
      <c r="F1" s="6" t="s">
        <v>11</v>
      </c>
    </row>
    <row r="2" spans="1:6" x14ac:dyDescent="0.25">
      <c r="A2" s="8" t="s">
        <v>12</v>
      </c>
      <c r="B2" s="9">
        <v>1</v>
      </c>
      <c r="C2" s="9" t="s">
        <v>24</v>
      </c>
      <c r="D2" s="9" t="s">
        <v>13</v>
      </c>
      <c r="E2" s="9">
        <v>49.13</v>
      </c>
      <c r="F2" s="10" t="str">
        <f>_xlfn.CONCAT(A2,"_",B2,"_",E2*100)</f>
        <v>Bowl_1_4913</v>
      </c>
    </row>
    <row r="3" spans="1:6" x14ac:dyDescent="0.25">
      <c r="A3" s="11"/>
      <c r="B3" s="12">
        <v>2</v>
      </c>
      <c r="C3" s="12" t="s">
        <v>24</v>
      </c>
      <c r="D3" s="12" t="s">
        <v>13</v>
      </c>
      <c r="E3" s="12">
        <v>23.3</v>
      </c>
      <c r="F3" s="13" t="str">
        <f>_xlfn.CONCAT(A2,"_",B3,"_",E3*100)</f>
        <v>Bowl_2_2330</v>
      </c>
    </row>
    <row r="4" spans="1:6" ht="15.75" thickBot="1" x14ac:dyDescent="0.3">
      <c r="A4" s="14"/>
      <c r="B4" s="15">
        <v>3</v>
      </c>
      <c r="C4" s="15" t="s">
        <v>24</v>
      </c>
      <c r="D4" s="15" t="s">
        <v>13</v>
      </c>
      <c r="E4" s="15">
        <v>24.93</v>
      </c>
      <c r="F4" s="16" t="str">
        <f>_xlfn.CONCAT(A2,"_",B4,"_",E4*100)</f>
        <v>Bowl_3_2493</v>
      </c>
    </row>
    <row r="5" spans="1:6" x14ac:dyDescent="0.25">
      <c r="A5" s="8" t="s">
        <v>14</v>
      </c>
      <c r="B5" s="9">
        <v>1</v>
      </c>
      <c r="C5" s="9" t="s">
        <v>24</v>
      </c>
      <c r="D5" s="9" t="s">
        <v>13</v>
      </c>
      <c r="E5" s="9">
        <v>8.98</v>
      </c>
      <c r="F5" s="10" t="str">
        <f>_xlfn.CONCAT(A5,"_",B5,"_",E5*100)</f>
        <v>Pyramid_1_898</v>
      </c>
    </row>
    <row r="6" spans="1:6" x14ac:dyDescent="0.25">
      <c r="A6" s="11"/>
      <c r="B6" s="12">
        <v>2</v>
      </c>
      <c r="C6" s="12" t="s">
        <v>24</v>
      </c>
      <c r="D6" s="12" t="s">
        <v>13</v>
      </c>
      <c r="E6" s="12">
        <v>29</v>
      </c>
      <c r="F6" s="13" t="str">
        <f>_xlfn.CONCAT(A5,"_",B6,"_",E6*100)</f>
        <v>Pyramid_2_2900</v>
      </c>
    </row>
    <row r="7" spans="1:6" ht="15.75" thickBot="1" x14ac:dyDescent="0.3">
      <c r="A7" s="14"/>
      <c r="B7" s="15">
        <v>3</v>
      </c>
      <c r="C7" s="15" t="s">
        <v>24</v>
      </c>
      <c r="D7" s="15" t="s">
        <v>13</v>
      </c>
      <c r="E7" s="15">
        <v>12.76</v>
      </c>
      <c r="F7" s="16" t="str">
        <f>_xlfn.CONCAT(A5,"_",B7,"_",E7*100)</f>
        <v>Pyramid_3_1276</v>
      </c>
    </row>
    <row r="8" spans="1:6" x14ac:dyDescent="0.25">
      <c r="A8" s="8" t="s">
        <v>15</v>
      </c>
      <c r="B8" s="9">
        <v>1</v>
      </c>
      <c r="C8" s="9" t="s">
        <v>24</v>
      </c>
      <c r="D8" s="9" t="s">
        <v>16</v>
      </c>
      <c r="E8" s="9">
        <v>34.479999999999997</v>
      </c>
      <c r="F8" s="10" t="str">
        <f>_xlfn.CONCAT(A8,"_",B8,"_",E8*100)</f>
        <v>Shell_1_3448</v>
      </c>
    </row>
    <row r="9" spans="1:6" x14ac:dyDescent="0.25">
      <c r="A9" s="11"/>
      <c r="B9" s="12">
        <v>2</v>
      </c>
      <c r="C9" s="12" t="s">
        <v>24</v>
      </c>
      <c r="D9" s="12" t="s">
        <v>13</v>
      </c>
      <c r="E9" s="12">
        <v>25.27</v>
      </c>
      <c r="F9" s="13" t="str">
        <f>_xlfn.CONCAT(A8,"_",B9,"_",E9*100)</f>
        <v>Shell_2_2527</v>
      </c>
    </row>
    <row r="10" spans="1:6" ht="15.75" thickBot="1" x14ac:dyDescent="0.3">
      <c r="A10" s="14"/>
      <c r="B10" s="15">
        <v>3</v>
      </c>
      <c r="C10" s="15" t="s">
        <v>17</v>
      </c>
      <c r="D10" s="15" t="s">
        <v>13</v>
      </c>
      <c r="E10" s="15">
        <v>46.32</v>
      </c>
      <c r="F10" s="16" t="str">
        <f>_xlfn.CONCAT(A8,"_",B10,"_",E10*100)</f>
        <v>Shell_3_4632</v>
      </c>
    </row>
    <row r="11" spans="1:6" x14ac:dyDescent="0.25">
      <c r="A11" s="8" t="s">
        <v>18</v>
      </c>
      <c r="B11" s="9">
        <v>1</v>
      </c>
      <c r="C11" s="9" t="s">
        <v>24</v>
      </c>
      <c r="D11" s="9" t="s">
        <v>13</v>
      </c>
      <c r="E11" s="9">
        <v>21.48</v>
      </c>
      <c r="F11" s="10" t="str">
        <f>_xlfn.CONCAT(A11,"_",B11,"_",E11*100)</f>
        <v>Mouse_1_2148</v>
      </c>
    </row>
    <row r="12" spans="1:6" x14ac:dyDescent="0.25">
      <c r="A12" s="11"/>
      <c r="B12" s="12">
        <v>2</v>
      </c>
      <c r="C12" s="12" t="s">
        <v>24</v>
      </c>
      <c r="D12" s="12" t="s">
        <v>13</v>
      </c>
      <c r="E12" s="12">
        <v>15.9</v>
      </c>
      <c r="F12" s="13" t="str">
        <f>_xlfn.CONCAT(A11,"_",B12,"_",E12*100)</f>
        <v>Mouse_2_1590</v>
      </c>
    </row>
    <row r="13" spans="1:6" ht="15.75" thickBot="1" x14ac:dyDescent="0.3">
      <c r="A13" s="14"/>
      <c r="B13" s="15">
        <v>3</v>
      </c>
      <c r="C13" s="15" t="s">
        <v>24</v>
      </c>
      <c r="D13" s="15" t="s">
        <v>13</v>
      </c>
      <c r="E13" s="15">
        <v>26.07</v>
      </c>
      <c r="F13" s="16" t="str">
        <f>_xlfn.CONCAT(A11,"_",B13,"_",E13*100)</f>
        <v>Mouse_3_2607</v>
      </c>
    </row>
    <row r="26" spans="1:1" x14ac:dyDescent="0.25">
      <c r="A26" s="17"/>
    </row>
    <row r="27" spans="1:1" x14ac:dyDescent="0.25">
      <c r="A27" s="17"/>
    </row>
    <row r="28" spans="1:1" x14ac:dyDescent="0.25">
      <c r="A28" s="17"/>
    </row>
  </sheetData>
  <mergeCells count="5">
    <mergeCell ref="A26:A28"/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FE66-5D71-43FA-A862-094575947899}">
  <dimension ref="A1:F13"/>
  <sheetViews>
    <sheetView tabSelected="1" workbookViewId="0">
      <selection activeCell="L19" sqref="L19"/>
    </sheetView>
  </sheetViews>
  <sheetFormatPr defaultRowHeight="15" x14ac:dyDescent="0.25"/>
  <cols>
    <col min="1" max="1" width="12.7109375" bestFit="1" customWidth="1"/>
    <col min="2" max="2" width="10" bestFit="1" customWidth="1"/>
    <col min="3" max="3" width="12.28515625" bestFit="1" customWidth="1"/>
    <col min="4" max="4" width="26.5703125" bestFit="1" customWidth="1"/>
    <col min="5" max="5" width="25.28515625" bestFit="1" customWidth="1"/>
    <col min="6" max="6" width="22.42578125" bestFit="1" customWidth="1"/>
  </cols>
  <sheetData>
    <row r="1" spans="1:6" ht="15.75" thickBot="1" x14ac:dyDescent="0.3">
      <c r="A1" s="5" t="s">
        <v>8</v>
      </c>
      <c r="B1" s="5" t="s">
        <v>3</v>
      </c>
      <c r="C1" s="5" t="s">
        <v>9</v>
      </c>
      <c r="D1" s="5" t="s">
        <v>10</v>
      </c>
      <c r="E1" s="5" t="s">
        <v>6</v>
      </c>
      <c r="F1" s="6" t="s">
        <v>11</v>
      </c>
    </row>
    <row r="2" spans="1:6" x14ac:dyDescent="0.25">
      <c r="A2" s="8" t="s">
        <v>19</v>
      </c>
      <c r="B2" s="9">
        <v>1</v>
      </c>
      <c r="C2" s="9" t="s">
        <v>24</v>
      </c>
      <c r="D2" s="9" t="s">
        <v>13</v>
      </c>
      <c r="E2" s="9">
        <v>32.65</v>
      </c>
      <c r="F2" s="10" t="str">
        <f t="shared" ref="F2" si="0">_xlfn.CONCAT(A2,"_",B2,"_",E2*100)</f>
        <v>Peanut_1_3265</v>
      </c>
    </row>
    <row r="3" spans="1:6" x14ac:dyDescent="0.25">
      <c r="A3" s="11"/>
      <c r="B3" s="12">
        <v>2</v>
      </c>
      <c r="C3" s="12" t="s">
        <v>24</v>
      </c>
      <c r="D3" s="12" t="s">
        <v>13</v>
      </c>
      <c r="E3" s="12">
        <v>27.56</v>
      </c>
      <c r="F3" s="13" t="str">
        <f>_xlfn.CONCAT(A2,"_",B3,"_",E3*100)</f>
        <v>Peanut_2_2756</v>
      </c>
    </row>
    <row r="4" spans="1:6" ht="15.75" thickBot="1" x14ac:dyDescent="0.3">
      <c r="A4" s="14"/>
      <c r="B4" s="15">
        <v>3</v>
      </c>
      <c r="C4" s="15" t="s">
        <v>17</v>
      </c>
      <c r="D4" s="15" t="s">
        <v>13</v>
      </c>
      <c r="E4" s="15">
        <v>27.14</v>
      </c>
      <c r="F4" s="16" t="str">
        <f>_xlfn.CONCAT(A2,"_",B4,"_",E4*100)</f>
        <v>Peanut_3_2714</v>
      </c>
    </row>
    <row r="5" spans="1:6" x14ac:dyDescent="0.25">
      <c r="A5" s="8" t="s">
        <v>20</v>
      </c>
      <c r="B5" s="9">
        <v>1</v>
      </c>
      <c r="C5" s="9" t="s">
        <v>24</v>
      </c>
      <c r="D5" s="9" t="s">
        <v>13</v>
      </c>
      <c r="E5" s="9">
        <v>25.72</v>
      </c>
      <c r="F5" s="10" t="str">
        <f>_xlfn.CONCAT(A5,"_",B5,"_",E5*100)</f>
        <v>Butterfly_1_2572</v>
      </c>
    </row>
    <row r="6" spans="1:6" x14ac:dyDescent="0.25">
      <c r="A6" s="11"/>
      <c r="B6" s="12">
        <v>2</v>
      </c>
      <c r="C6" s="12" t="s">
        <v>24</v>
      </c>
      <c r="D6" s="12" t="s">
        <v>13</v>
      </c>
      <c r="E6" s="12">
        <v>42.7</v>
      </c>
      <c r="F6" s="13" t="str">
        <f>_xlfn.CONCAT(A5,"_",B6,"_",E6*100)</f>
        <v>Butterfly_2_4270</v>
      </c>
    </row>
    <row r="7" spans="1:6" ht="15.75" thickBot="1" x14ac:dyDescent="0.3">
      <c r="A7" s="14"/>
      <c r="B7" s="15">
        <v>3</v>
      </c>
      <c r="C7" s="15" t="s">
        <v>24</v>
      </c>
      <c r="D7" s="15" t="s">
        <v>13</v>
      </c>
      <c r="E7" s="15">
        <v>22.76</v>
      </c>
      <c r="F7" s="16" t="str">
        <f>_xlfn.CONCAT(A5,"_",B7,"_",E7*100)</f>
        <v>Butterfly_3_2276</v>
      </c>
    </row>
    <row r="8" spans="1:6" x14ac:dyDescent="0.25">
      <c r="A8" s="8" t="s">
        <v>21</v>
      </c>
      <c r="B8" s="9">
        <v>1</v>
      </c>
      <c r="C8" s="9" t="s">
        <v>24</v>
      </c>
      <c r="D8" s="9" t="s">
        <v>22</v>
      </c>
      <c r="E8" s="9">
        <v>31.33</v>
      </c>
      <c r="F8" s="10" t="str">
        <f>_xlfn.CONCAT(A8,"_",B8,"_",E8*100)</f>
        <v>Spoon_1_3133</v>
      </c>
    </row>
    <row r="9" spans="1:6" x14ac:dyDescent="0.25">
      <c r="A9" s="11"/>
      <c r="B9" s="12">
        <v>2</v>
      </c>
      <c r="C9" s="12" t="s">
        <v>24</v>
      </c>
      <c r="D9" s="12" t="s">
        <v>22</v>
      </c>
      <c r="E9" s="12">
        <v>23.43</v>
      </c>
      <c r="F9" s="13" t="str">
        <f>_xlfn.CONCAT(A8,"_",B9,"_",E9*100)</f>
        <v>Spoon_2_2343</v>
      </c>
    </row>
    <row r="10" spans="1:6" ht="15.75" thickBot="1" x14ac:dyDescent="0.3">
      <c r="A10" s="14"/>
      <c r="B10" s="15">
        <v>3</v>
      </c>
      <c r="C10" s="15" t="s">
        <v>24</v>
      </c>
      <c r="D10" s="15" t="s">
        <v>22</v>
      </c>
      <c r="E10" s="15">
        <v>14.73</v>
      </c>
      <c r="F10" s="16" t="str">
        <f>_xlfn.CONCAT(A8,"_",B10,"_",E10*100)</f>
        <v>Spoon_3_1473</v>
      </c>
    </row>
    <row r="11" spans="1:6" x14ac:dyDescent="0.25">
      <c r="A11" s="8" t="s">
        <v>23</v>
      </c>
      <c r="B11" s="9">
        <v>1</v>
      </c>
      <c r="C11" s="9" t="s">
        <v>24</v>
      </c>
      <c r="D11" s="9" t="s">
        <v>22</v>
      </c>
      <c r="E11" s="9">
        <v>19.190000000000001</v>
      </c>
      <c r="F11" s="10" t="str">
        <f>_xlfn.CONCAT(A11,"_",B11,"_",E11*100)</f>
        <v>RimmedPlate_1_1919</v>
      </c>
    </row>
    <row r="12" spans="1:6" x14ac:dyDescent="0.25">
      <c r="A12" s="11"/>
      <c r="B12" s="12">
        <v>2</v>
      </c>
      <c r="C12" s="12" t="s">
        <v>24</v>
      </c>
      <c r="D12" s="12" t="s">
        <v>22</v>
      </c>
      <c r="E12" s="12">
        <v>26.92</v>
      </c>
      <c r="F12" s="13" t="str">
        <f>_xlfn.CONCAT(A11,"_",B12,"_",E12*100)</f>
        <v>RimmedPlate_2_2692</v>
      </c>
    </row>
    <row r="13" spans="1:6" ht="15.75" thickBot="1" x14ac:dyDescent="0.3">
      <c r="A13" s="14"/>
      <c r="B13" s="15">
        <v>3</v>
      </c>
      <c r="C13" s="15" t="s">
        <v>24</v>
      </c>
      <c r="D13" s="15" t="s">
        <v>22</v>
      </c>
      <c r="E13" s="15">
        <v>15.36</v>
      </c>
      <c r="F13" s="16" t="str">
        <f>_xlfn.CONCAT(A11,"_",B13,"_",E13*100)</f>
        <v>RimmedPlate_3_1536</v>
      </c>
    </row>
  </sheetData>
  <mergeCells count="4">
    <mergeCell ref="A8:A10"/>
    <mergeCell ref="A11:A13"/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6</vt:lpstr>
      <vt:lpstr>Figure 4</vt:lpstr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Mrunmayi Mungekar</dc:creator>
  <cp:lastModifiedBy>Mrunmayi Mungekar</cp:lastModifiedBy>
  <dcterms:created xsi:type="dcterms:W3CDTF">2024-06-29T06:32:24Z</dcterms:created>
  <dcterms:modified xsi:type="dcterms:W3CDTF">2024-06-29T23:12:33Z</dcterms:modified>
</cp:coreProperties>
</file>